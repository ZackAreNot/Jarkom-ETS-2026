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5"/>
    <sheet state="visible" name="CIDR" sheetId="2" r:id="rId6"/>
  </sheets>
  <definedNames/>
  <calcPr/>
</workbook>
</file>

<file path=xl/sharedStrings.xml><?xml version="1.0" encoding="utf-8"?>
<sst xmlns="http://schemas.openxmlformats.org/spreadsheetml/2006/main" count="211" uniqueCount="145">
  <si>
    <t>base IP:</t>
  </si>
  <si>
    <t>Subnet</t>
  </si>
  <si>
    <t>10.96.0.0</t>
  </si>
  <si>
    <t>Host</t>
  </si>
  <si>
    <t>Prefix per subnet</t>
  </si>
  <si>
    <t>Network ID</t>
  </si>
  <si>
    <t>Total host (+1 gateway)</t>
  </si>
  <si>
    <t>Kebutuhan</t>
  </si>
  <si>
    <t>Prefix</t>
  </si>
  <si>
    <t>Prefix total</t>
  </si>
  <si>
    <t>Subnet mask</t>
  </si>
  <si>
    <t>Range IP</t>
  </si>
  <si>
    <t>WiFi Publik Utara</t>
  </si>
  <si>
    <t>Gateway</t>
  </si>
  <si>
    <t>Broadcast</t>
  </si>
  <si>
    <t>/18</t>
  </si>
  <si>
    <t>255.255.192.0</t>
  </si>
  <si>
    <t>10.96.0.1 – 10.96.63.254</t>
  </si>
  <si>
    <t>10.96.0.1</t>
  </si>
  <si>
    <t>10.96.63.255</t>
  </si>
  <si>
    <t>WiFi Publik Selatan</t>
  </si>
  <si>
    <t>10.96.64.0</t>
  </si>
  <si>
    <t>/19</t>
  </si>
  <si>
    <t>255.255.224.0</t>
  </si>
  <si>
    <t>10.96.64.1 – 10.96.95.254</t>
  </si>
  <si>
    <t>10.96.64.1</t>
  </si>
  <si>
    <t>10.96.95.255</t>
  </si>
  <si>
    <t>CCTV Kota</t>
  </si>
  <si>
    <t>10.96.96.0</t>
  </si>
  <si>
    <t>10.96.96.1 – 10.96.127.254</t>
  </si>
  <si>
    <t>10.96.96.1</t>
  </si>
  <si>
    <t>10.96.127.255</t>
  </si>
  <si>
    <t>WiFi Publik Timur</t>
  </si>
  <si>
    <t>10.96.128.0</t>
  </si>
  <si>
    <t>Sensor Lalu Lintas Utara</t>
  </si>
  <si>
    <t>10.96.128.1 – 10.96.159.254</t>
  </si>
  <si>
    <t>10.96.128.1</t>
  </si>
  <si>
    <t>10.96.159.255</t>
  </si>
  <si>
    <t>Sensor &amp; SCADA Pelabuhan</t>
  </si>
  <si>
    <t>/23</t>
  </si>
  <si>
    <t>10.96.160.0</t>
  </si>
  <si>
    <t>10.96.160.1 – 10.96.191.254</t>
  </si>
  <si>
    <t>10.96.160.1</t>
  </si>
  <si>
    <t>10.96.191.255</t>
  </si>
  <si>
    <t>WiFi Publik Barat</t>
  </si>
  <si>
    <t>10.96.192.0</t>
  </si>
  <si>
    <t>10.96.192.1 – 10.96.223.254</t>
  </si>
  <si>
    <t>10.96.192.1</t>
  </si>
  <si>
    <t>10.96.223.255</t>
  </si>
  <si>
    <t>Pegawai Balai Kota</t>
  </si>
  <si>
    <t>10.96.224.0</t>
  </si>
  <si>
    <t>/21</t>
  </si>
  <si>
    <t>255.255.248.0</t>
  </si>
  <si>
    <t>10.96.224.1 – 10.96.231.254</t>
  </si>
  <si>
    <t>10.96.224.1</t>
  </si>
  <si>
    <t>10.96.231.255</t>
  </si>
  <si>
    <t>Sensor Banjir Timur</t>
  </si>
  <si>
    <t>10.96.232.0</t>
  </si>
  <si>
    <t>Server &amp; Storage DC</t>
  </si>
  <si>
    <t>/24</t>
  </si>
  <si>
    <t>/22</t>
  </si>
  <si>
    <t>255.255.252.0</t>
  </si>
  <si>
    <t>10.96.232.1 – 10.96.235.254</t>
  </si>
  <si>
    <t>10.96.232.1</t>
  </si>
  <si>
    <t>10.96.235.255</t>
  </si>
  <si>
    <t>10.96.236.0</t>
  </si>
  <si>
    <t>255.255.254.0</t>
  </si>
  <si>
    <t>10.96.236.1 – 10.96.237.254</t>
  </si>
  <si>
    <t>10.96.236.1</t>
  </si>
  <si>
    <t>10.96.237.255</t>
  </si>
  <si>
    <t>Puskesmas &amp; Sekolah Barat</t>
  </si>
  <si>
    <t>10.96.238.0</t>
  </si>
  <si>
    <t>PJU Pintar Selatan</t>
  </si>
  <si>
    <t>/25</t>
  </si>
  <si>
    <t>255.255.255.0</t>
  </si>
  <si>
    <t>10.96.238.1 – 10.96.238.254</t>
  </si>
  <si>
    <t>10.96.238.1</t>
  </si>
  <si>
    <t>10.96.238.255</t>
  </si>
  <si>
    <t>10.96.239.0</t>
  </si>
  <si>
    <t>10.96.239.1 – 10.96.239.254</t>
  </si>
  <si>
    <t>10.96.239.1</t>
  </si>
  <si>
    <t>10.96.239.255</t>
  </si>
  <si>
    <t>Kantor Pelabuhan</t>
  </si>
  <si>
    <t>10.96.240.0</t>
  </si>
  <si>
    <t>255.255.255.128</t>
  </si>
  <si>
    <t>10.96.240.1 – 10.96.240.126</t>
  </si>
  <si>
    <t>10.96.240.1</t>
  </si>
  <si>
    <t>10.96.240.127</t>
  </si>
  <si>
    <t>10.96.240.128</t>
  </si>
  <si>
    <t>10.96.240.129 – 10.96.240.254</t>
  </si>
  <si>
    <t>10.96.240.129</t>
  </si>
  <si>
    <t>10.96.240.255</t>
  </si>
  <si>
    <t>Server Balai Kota</t>
  </si>
  <si>
    <t>10.96.241.0</t>
  </si>
  <si>
    <t>/27</t>
  </si>
  <si>
    <t>255.255.255.224</t>
  </si>
  <si>
    <t>10.96.241.1 – 10.96.241.30</t>
  </si>
  <si>
    <t>10.96.241.1</t>
  </si>
  <si>
    <t>10.96.241.31</t>
  </si>
  <si>
    <t>Link</t>
  </si>
  <si>
    <t>Host 1</t>
  </si>
  <si>
    <t>Host 2</t>
  </si>
  <si>
    <t>L1</t>
  </si>
  <si>
    <t>10.96.241.32</t>
  </si>
  <si>
    <t>/30</t>
  </si>
  <si>
    <t>255.255.255.252</t>
  </si>
  <si>
    <t>10.96.241.33</t>
  </si>
  <si>
    <t>10.96.241.34</t>
  </si>
  <si>
    <t>10.96.241.33 – 10.96.241.34</t>
  </si>
  <si>
    <t>10.96.241.35</t>
  </si>
  <si>
    <t>L2</t>
  </si>
  <si>
    <t>10.96.241.36</t>
  </si>
  <si>
    <t>10.96.241.37</t>
  </si>
  <si>
    <t>10.96.241.38</t>
  </si>
  <si>
    <t>10.96.241.37 – 10.96.241.38</t>
  </si>
  <si>
    <t>10.96.241.39</t>
  </si>
  <si>
    <t>L3</t>
  </si>
  <si>
    <t>10.96.241.40</t>
  </si>
  <si>
    <t>10.96.241.41</t>
  </si>
  <si>
    <t>10.96.241.42</t>
  </si>
  <si>
    <t>10.96.241.41 – 10.96.241.42</t>
  </si>
  <si>
    <t>10.96.241.43</t>
  </si>
  <si>
    <t>L4</t>
  </si>
  <si>
    <t>10.96.241.44</t>
  </si>
  <si>
    <t>10.96.241.45</t>
  </si>
  <si>
    <t>10.96.241.46</t>
  </si>
  <si>
    <t>10.96.241.45 – 10.96.241.46</t>
  </si>
  <si>
    <t>10.96.241.47</t>
  </si>
  <si>
    <t>L5</t>
  </si>
  <si>
    <t>10.96.241.48</t>
  </si>
  <si>
    <t>10.96.241.49</t>
  </si>
  <si>
    <t>10.96.241.50</t>
  </si>
  <si>
    <t>10.96.241.49 – 10.96.241.50</t>
  </si>
  <si>
    <t>10.96.241.51</t>
  </si>
  <si>
    <t>L6</t>
  </si>
  <si>
    <t>10.96.241.52</t>
  </si>
  <si>
    <t>10.96.241.53</t>
  </si>
  <si>
    <t>10.96.241.54</t>
  </si>
  <si>
    <t>10.96.241.53 – 10.96.241.54</t>
  </si>
  <si>
    <t>10.96.241.55</t>
  </si>
  <si>
    <t>revisi:</t>
  </si>
  <si>
    <t>oktet pertama awalnya 192 menjadi 10.</t>
  </si>
  <si>
    <t>karena 192 termasuk IP private kelas C yang rentangnya pada 192.168.0.0 - 192.168.255.255. tidak memenuhi kebutuhan kelompok kami karena oktet ke-2 adalah 96.</t>
  </si>
  <si>
    <t>oktet 10 termasuk IP private kelas A yang rentangnya pada 10.0.0.0 - 10.255.255.255. sehingga jika oktet ke-2 adalah 96, jenis IP private kelas A inilah yang mampu memenuhi kebutuhan kelompok kami.</t>
  </si>
  <si>
    <t>bagaimana dengan IP private kelas B? IP tersebut berada pada rentang 172.16.0.0 - 172.31.255.255, maka IP ini tidak memenuhi kebutuhan kelompok kami yang menggunakan 96 sebagai oktet ke-2.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</si>
</sst>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2.5"/>
    <col customWidth="1" min="4" max="4" width="13.5"/>
    <col customWidth="1" min="6" max="6" width="13.5"/>
    <col customWidth="1" min="7" max="7" width="24.13"/>
  </cols>
  <sheetData>
    <row r="1">
      <c r="A1" s="1" t="s">
        <v>0</v>
      </c>
      <c r="B1" s="2" t="s">
        <v>2</v>
      </c>
    </row>
    <row r="3">
      <c r="A3" s="3" t="s">
        <v>1</v>
      </c>
      <c r="B3" s="3" t="s">
        <v>3</v>
      </c>
      <c r="C3" s="3" t="s">
        <v>5</v>
      </c>
      <c r="D3" s="3" t="s">
        <v>7</v>
      </c>
      <c r="E3" s="3" t="s">
        <v>8</v>
      </c>
      <c r="F3" s="3" t="s">
        <v>10</v>
      </c>
      <c r="G3" s="3" t="s">
        <v>11</v>
      </c>
      <c r="H3" s="3" t="s">
        <v>13</v>
      </c>
      <c r="I3" s="3" t="s">
        <v>14</v>
      </c>
    </row>
    <row r="4">
      <c r="A4" s="2" t="s">
        <v>12</v>
      </c>
      <c r="B4" s="4">
        <v>11000.0</v>
      </c>
      <c r="C4" s="2" t="s">
        <v>2</v>
      </c>
      <c r="D4" s="5">
        <f>2^14</f>
        <v>16384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>
      <c r="A5" s="2" t="s">
        <v>20</v>
      </c>
      <c r="B5" s="4">
        <v>6500.0</v>
      </c>
      <c r="C5" s="2" t="s">
        <v>21</v>
      </c>
      <c r="D5" s="5">
        <f t="shared" ref="D5:D9" si="1">2^13</f>
        <v>8192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</row>
    <row r="6">
      <c r="A6" s="2" t="s">
        <v>27</v>
      </c>
      <c r="B6" s="4">
        <v>6000.0</v>
      </c>
      <c r="C6" s="2" t="s">
        <v>28</v>
      </c>
      <c r="D6" s="5">
        <f t="shared" si="1"/>
        <v>8192</v>
      </c>
      <c r="E6" s="2" t="s">
        <v>22</v>
      </c>
      <c r="F6" s="2" t="s">
        <v>23</v>
      </c>
      <c r="G6" s="2" t="s">
        <v>29</v>
      </c>
      <c r="H6" s="2" t="s">
        <v>30</v>
      </c>
      <c r="I6" s="2" t="s">
        <v>31</v>
      </c>
    </row>
    <row r="7">
      <c r="A7" s="2" t="s">
        <v>32</v>
      </c>
      <c r="B7" s="4">
        <v>5500.0</v>
      </c>
      <c r="C7" s="2" t="s">
        <v>33</v>
      </c>
      <c r="D7" s="5">
        <f t="shared" si="1"/>
        <v>8192</v>
      </c>
      <c r="E7" s="2" t="s">
        <v>22</v>
      </c>
      <c r="F7" s="2" t="s">
        <v>23</v>
      </c>
      <c r="G7" s="2" t="s">
        <v>35</v>
      </c>
      <c r="H7" s="2" t="s">
        <v>36</v>
      </c>
      <c r="I7" s="2" t="s">
        <v>37</v>
      </c>
    </row>
    <row r="8">
      <c r="A8" s="2" t="s">
        <v>38</v>
      </c>
      <c r="B8" s="4">
        <v>5000.0</v>
      </c>
      <c r="C8" s="2" t="s">
        <v>40</v>
      </c>
      <c r="D8" s="5">
        <f t="shared" si="1"/>
        <v>8192</v>
      </c>
      <c r="E8" s="2" t="s">
        <v>22</v>
      </c>
      <c r="F8" s="2" t="s">
        <v>23</v>
      </c>
      <c r="G8" s="2" t="s">
        <v>41</v>
      </c>
      <c r="H8" s="2" t="s">
        <v>42</v>
      </c>
      <c r="I8" s="2" t="s">
        <v>43</v>
      </c>
    </row>
    <row r="9">
      <c r="A9" s="2" t="s">
        <v>44</v>
      </c>
      <c r="B9" s="4">
        <v>4500.0</v>
      </c>
      <c r="C9" s="2" t="s">
        <v>45</v>
      </c>
      <c r="D9" s="5">
        <f t="shared" si="1"/>
        <v>8192</v>
      </c>
      <c r="E9" s="2" t="s">
        <v>22</v>
      </c>
      <c r="F9" s="2" t="s">
        <v>23</v>
      </c>
      <c r="G9" s="2" t="s">
        <v>46</v>
      </c>
      <c r="H9" s="2" t="s">
        <v>47</v>
      </c>
      <c r="I9" s="2" t="s">
        <v>48</v>
      </c>
    </row>
    <row r="10">
      <c r="A10" s="2" t="s">
        <v>49</v>
      </c>
      <c r="B10" s="4">
        <v>1800.0</v>
      </c>
      <c r="C10" s="2" t="s">
        <v>50</v>
      </c>
      <c r="D10" s="5">
        <f>2^11</f>
        <v>2048</v>
      </c>
      <c r="E10" s="2" t="s">
        <v>51</v>
      </c>
      <c r="F10" s="2" t="s">
        <v>52</v>
      </c>
      <c r="G10" s="2" t="s">
        <v>53</v>
      </c>
      <c r="H10" s="2" t="s">
        <v>54</v>
      </c>
      <c r="I10" s="2" t="s">
        <v>55</v>
      </c>
    </row>
    <row r="11">
      <c r="A11" s="2" t="s">
        <v>56</v>
      </c>
      <c r="B11" s="4">
        <v>700.0</v>
      </c>
      <c r="C11" s="2" t="s">
        <v>57</v>
      </c>
      <c r="D11" s="5">
        <f>2^10</f>
        <v>1024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64</v>
      </c>
    </row>
    <row r="12">
      <c r="A12" s="2" t="s">
        <v>34</v>
      </c>
      <c r="B12" s="4">
        <v>450.0</v>
      </c>
      <c r="C12" s="2" t="s">
        <v>65</v>
      </c>
      <c r="D12" s="5">
        <f>2^9</f>
        <v>512</v>
      </c>
      <c r="E12" s="2" t="s">
        <v>39</v>
      </c>
      <c r="F12" s="2" t="s">
        <v>66</v>
      </c>
      <c r="G12" s="2" t="s">
        <v>67</v>
      </c>
      <c r="H12" s="2" t="s">
        <v>68</v>
      </c>
      <c r="I12" s="2" t="s">
        <v>69</v>
      </c>
    </row>
    <row r="13">
      <c r="A13" s="2" t="s">
        <v>70</v>
      </c>
      <c r="B13" s="4">
        <v>220.0</v>
      </c>
      <c r="C13" s="2" t="s">
        <v>71</v>
      </c>
      <c r="D13" s="5">
        <f t="shared" ref="D13:D14" si="2">2^8</f>
        <v>256</v>
      </c>
      <c r="E13" s="2" t="s">
        <v>59</v>
      </c>
      <c r="F13" s="2" t="s">
        <v>74</v>
      </c>
      <c r="G13" s="2" t="s">
        <v>75</v>
      </c>
      <c r="H13" s="2" t="s">
        <v>76</v>
      </c>
      <c r="I13" s="2" t="s">
        <v>77</v>
      </c>
    </row>
    <row r="14">
      <c r="A14" s="2" t="s">
        <v>58</v>
      </c>
      <c r="B14" s="4">
        <v>180.0</v>
      </c>
      <c r="C14" s="2" t="s">
        <v>78</v>
      </c>
      <c r="D14" s="5">
        <f t="shared" si="2"/>
        <v>256</v>
      </c>
      <c r="E14" s="2" t="s">
        <v>59</v>
      </c>
      <c r="F14" s="2" t="s">
        <v>74</v>
      </c>
      <c r="G14" s="2" t="s">
        <v>79</v>
      </c>
      <c r="H14" s="2" t="s">
        <v>80</v>
      </c>
      <c r="I14" s="2" t="s">
        <v>81</v>
      </c>
    </row>
    <row r="15">
      <c r="A15" s="2" t="s">
        <v>82</v>
      </c>
      <c r="B15" s="4">
        <v>120.0</v>
      </c>
      <c r="C15" s="2" t="s">
        <v>83</v>
      </c>
      <c r="D15" s="5">
        <f t="shared" ref="D15:D16" si="3">2^7</f>
        <v>128</v>
      </c>
      <c r="E15" s="2" t="s">
        <v>73</v>
      </c>
      <c r="F15" s="2" t="s">
        <v>84</v>
      </c>
      <c r="G15" s="2" t="s">
        <v>85</v>
      </c>
      <c r="H15" s="2" t="s">
        <v>86</v>
      </c>
      <c r="I15" s="2" t="s">
        <v>87</v>
      </c>
    </row>
    <row r="16">
      <c r="A16" s="2" t="s">
        <v>72</v>
      </c>
      <c r="B16" s="4">
        <v>90.0</v>
      </c>
      <c r="C16" s="2" t="s">
        <v>88</v>
      </c>
      <c r="D16" s="5">
        <f t="shared" si="3"/>
        <v>128</v>
      </c>
      <c r="E16" s="2" t="s">
        <v>73</v>
      </c>
      <c r="F16" s="2" t="s">
        <v>84</v>
      </c>
      <c r="G16" s="2" t="s">
        <v>89</v>
      </c>
      <c r="H16" s="2" t="s">
        <v>90</v>
      </c>
      <c r="I16" s="2" t="s">
        <v>91</v>
      </c>
    </row>
    <row r="17">
      <c r="A17" s="2" t="s">
        <v>92</v>
      </c>
      <c r="B17" s="4">
        <v>20.0</v>
      </c>
      <c r="C17" s="2" t="s">
        <v>93</v>
      </c>
      <c r="D17" s="5">
        <f>2^5</f>
        <v>32</v>
      </c>
      <c r="E17" s="2" t="s">
        <v>94</v>
      </c>
      <c r="F17" s="2" t="s">
        <v>95</v>
      </c>
      <c r="G17" s="2" t="s">
        <v>96</v>
      </c>
      <c r="H17" s="2" t="s">
        <v>97</v>
      </c>
      <c r="I17" s="2" t="s">
        <v>98</v>
      </c>
    </row>
    <row r="19">
      <c r="A19" s="3" t="s">
        <v>99</v>
      </c>
      <c r="B19" s="3" t="s">
        <v>5</v>
      </c>
      <c r="C19" s="3" t="s">
        <v>8</v>
      </c>
      <c r="D19" s="3" t="s">
        <v>10</v>
      </c>
      <c r="E19" s="3" t="s">
        <v>100</v>
      </c>
      <c r="F19" s="3" t="s">
        <v>101</v>
      </c>
      <c r="G19" s="3" t="s">
        <v>11</v>
      </c>
      <c r="H19" s="3" t="s">
        <v>14</v>
      </c>
    </row>
    <row r="20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108</v>
      </c>
      <c r="H20" s="2" t="s">
        <v>109</v>
      </c>
    </row>
    <row r="21">
      <c r="A21" s="2" t="s">
        <v>110</v>
      </c>
      <c r="B21" s="2" t="s">
        <v>111</v>
      </c>
      <c r="C21" s="2" t="s">
        <v>104</v>
      </c>
      <c r="D21" s="2" t="s">
        <v>105</v>
      </c>
      <c r="E21" s="2" t="s">
        <v>112</v>
      </c>
      <c r="F21" s="2" t="s">
        <v>113</v>
      </c>
      <c r="G21" s="2" t="s">
        <v>114</v>
      </c>
      <c r="H21" s="2" t="s">
        <v>115</v>
      </c>
    </row>
    <row r="22">
      <c r="A22" s="2" t="s">
        <v>116</v>
      </c>
      <c r="B22" s="2" t="s">
        <v>117</v>
      </c>
      <c r="C22" s="2" t="s">
        <v>104</v>
      </c>
      <c r="D22" s="2" t="s">
        <v>105</v>
      </c>
      <c r="E22" s="2" t="s">
        <v>118</v>
      </c>
      <c r="F22" s="2" t="s">
        <v>119</v>
      </c>
      <c r="G22" s="2" t="s">
        <v>120</v>
      </c>
      <c r="H22" s="2" t="s">
        <v>121</v>
      </c>
    </row>
    <row r="23">
      <c r="A23" s="2" t="s">
        <v>122</v>
      </c>
      <c r="B23" s="2" t="s">
        <v>123</v>
      </c>
      <c r="C23" s="2" t="s">
        <v>104</v>
      </c>
      <c r="D23" s="2" t="s">
        <v>105</v>
      </c>
      <c r="E23" s="2" t="s">
        <v>124</v>
      </c>
      <c r="F23" s="2" t="s">
        <v>125</v>
      </c>
      <c r="G23" s="2" t="s">
        <v>126</v>
      </c>
      <c r="H23" s="2" t="s">
        <v>127</v>
      </c>
    </row>
    <row r="24">
      <c r="A24" s="2" t="s">
        <v>128</v>
      </c>
      <c r="B24" s="2" t="s">
        <v>129</v>
      </c>
      <c r="C24" s="2" t="s">
        <v>104</v>
      </c>
      <c r="D24" s="2" t="s">
        <v>105</v>
      </c>
      <c r="E24" s="2" t="s">
        <v>130</v>
      </c>
      <c r="F24" s="2" t="s">
        <v>131</v>
      </c>
      <c r="G24" s="2" t="s">
        <v>132</v>
      </c>
      <c r="H24" s="2" t="s">
        <v>133</v>
      </c>
    </row>
    <row r="25">
      <c r="A25" s="2" t="s">
        <v>134</v>
      </c>
      <c r="B25" s="2" t="s">
        <v>135</v>
      </c>
      <c r="C25" s="2" t="s">
        <v>104</v>
      </c>
      <c r="D25" s="2" t="s">
        <v>105</v>
      </c>
      <c r="E25" s="2" t="s">
        <v>136</v>
      </c>
      <c r="F25" s="2" t="s">
        <v>137</v>
      </c>
      <c r="G25" s="2" t="s">
        <v>138</v>
      </c>
      <c r="H25" s="2" t="s">
        <v>139</v>
      </c>
    </row>
    <row r="28">
      <c r="A28" s="2" t="s">
        <v>140</v>
      </c>
    </row>
    <row r="29">
      <c r="A29" s="2" t="s">
        <v>141</v>
      </c>
    </row>
    <row r="30">
      <c r="A30" s="2" t="s">
        <v>142</v>
      </c>
    </row>
    <row r="31">
      <c r="A31" s="2" t="s">
        <v>143</v>
      </c>
    </row>
    <row r="32">
      <c r="A32" s="2" t="s">
        <v>144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9.38"/>
    <col customWidth="1" min="3" max="3" width="13.63"/>
    <col customWidth="1" min="4" max="4" width="18.25"/>
    <col customWidth="1" min="5" max="6" width="11.13"/>
  </cols>
  <sheetData>
    <row r="2">
      <c r="A2" s="3" t="s">
        <v>1</v>
      </c>
      <c r="B2" s="3" t="s">
        <v>3</v>
      </c>
      <c r="C2" s="3" t="s">
        <v>4</v>
      </c>
      <c r="D2" s="3" t="s">
        <v>6</v>
      </c>
      <c r="E2" s="3" t="s">
        <v>7</v>
      </c>
      <c r="F2" s="3" t="s">
        <v>9</v>
      </c>
    </row>
    <row r="3">
      <c r="A3" s="2" t="s">
        <v>12</v>
      </c>
      <c r="B3" s="4">
        <v>11000.0</v>
      </c>
      <c r="C3" s="2" t="s">
        <v>15</v>
      </c>
      <c r="D3" s="6">
        <f>sum(B3:B4)+1</f>
        <v>11451</v>
      </c>
      <c r="E3" s="7">
        <f>2^14</f>
        <v>16384</v>
      </c>
      <c r="F3" s="6" t="s">
        <v>15</v>
      </c>
    </row>
    <row r="4">
      <c r="A4" s="2" t="s">
        <v>34</v>
      </c>
      <c r="B4" s="4">
        <v>450.0</v>
      </c>
      <c r="C4" s="2" t="s">
        <v>39</v>
      </c>
    </row>
    <row r="5">
      <c r="A5" s="2" t="s">
        <v>27</v>
      </c>
      <c r="B5" s="4">
        <v>6000.0</v>
      </c>
      <c r="C5" s="2" t="s">
        <v>22</v>
      </c>
      <c r="D5" s="6">
        <f>sum(B5:B6)+1</f>
        <v>6181</v>
      </c>
      <c r="E5" s="7">
        <f>2^13</f>
        <v>8192</v>
      </c>
      <c r="F5" s="6" t="s">
        <v>22</v>
      </c>
    </row>
    <row r="6">
      <c r="A6" s="2" t="s">
        <v>58</v>
      </c>
      <c r="B6" s="4">
        <v>180.0</v>
      </c>
      <c r="C6" s="2" t="s">
        <v>59</v>
      </c>
    </row>
    <row r="7">
      <c r="A7" s="2" t="s">
        <v>20</v>
      </c>
      <c r="B7" s="4">
        <v>6500.0</v>
      </c>
      <c r="C7" s="2" t="s">
        <v>22</v>
      </c>
      <c r="D7" s="6">
        <f>sum(B7:B8)+1</f>
        <v>6591</v>
      </c>
      <c r="E7" s="7">
        <f>2^13</f>
        <v>8192</v>
      </c>
      <c r="F7" s="6" t="s">
        <v>22</v>
      </c>
    </row>
    <row r="8">
      <c r="A8" s="2" t="s">
        <v>72</v>
      </c>
      <c r="B8" s="4">
        <v>90.0</v>
      </c>
      <c r="C8" s="2" t="s">
        <v>73</v>
      </c>
    </row>
    <row r="9">
      <c r="A9" s="2" t="s">
        <v>32</v>
      </c>
      <c r="B9" s="4">
        <v>5500.0</v>
      </c>
      <c r="C9" s="2" t="s">
        <v>22</v>
      </c>
      <c r="D9" s="6">
        <f>sum(B9:B10)+1</f>
        <v>6201</v>
      </c>
      <c r="E9" s="7">
        <f>2^13</f>
        <v>8192</v>
      </c>
      <c r="F9" s="6" t="s">
        <v>22</v>
      </c>
    </row>
    <row r="10">
      <c r="A10" s="2" t="s">
        <v>56</v>
      </c>
      <c r="B10" s="4">
        <v>700.0</v>
      </c>
      <c r="C10" s="2" t="s">
        <v>60</v>
      </c>
    </row>
    <row r="11">
      <c r="A11" s="2" t="s">
        <v>44</v>
      </c>
      <c r="B11" s="4">
        <v>4500.0</v>
      </c>
      <c r="C11" s="2" t="s">
        <v>22</v>
      </c>
      <c r="D11" s="6">
        <f>sum(B11:B12)+1</f>
        <v>4721</v>
      </c>
      <c r="E11" s="7">
        <f>2^13</f>
        <v>8192</v>
      </c>
      <c r="F11" s="6" t="s">
        <v>22</v>
      </c>
    </row>
    <row r="12">
      <c r="A12" s="2" t="s">
        <v>70</v>
      </c>
      <c r="B12" s="4">
        <v>220.0</v>
      </c>
      <c r="C12" s="2" t="s">
        <v>59</v>
      </c>
    </row>
    <row r="13">
      <c r="A13" s="2" t="s">
        <v>38</v>
      </c>
      <c r="B13" s="4">
        <v>5000.0</v>
      </c>
      <c r="C13" s="2" t="s">
        <v>22</v>
      </c>
      <c r="D13" s="6">
        <f>sum(B13:B14)+1</f>
        <v>5121</v>
      </c>
      <c r="E13" s="7">
        <f>2^13</f>
        <v>8192</v>
      </c>
      <c r="F13" s="6" t="s">
        <v>22</v>
      </c>
    </row>
    <row r="14">
      <c r="A14" s="2" t="s">
        <v>82</v>
      </c>
      <c r="B14" s="4">
        <v>120.0</v>
      </c>
      <c r="C14" s="2" t="s">
        <v>73</v>
      </c>
    </row>
    <row r="15">
      <c r="A15" s="2" t="s">
        <v>49</v>
      </c>
      <c r="B15" s="4">
        <v>1800.0</v>
      </c>
      <c r="C15" s="2" t="s">
        <v>51</v>
      </c>
      <c r="D15" s="6">
        <f>sum(B15:B16)+1</f>
        <v>1821</v>
      </c>
      <c r="E15" s="7">
        <f>2^11</f>
        <v>2048</v>
      </c>
      <c r="F15" s="6" t="s">
        <v>51</v>
      </c>
    </row>
    <row r="16">
      <c r="A16" s="2" t="s">
        <v>92</v>
      </c>
      <c r="B16" s="4">
        <v>20.0</v>
      </c>
      <c r="C16" s="2" t="s">
        <v>94</v>
      </c>
    </row>
  </sheetData>
  <mergeCells count="21">
    <mergeCell ref="E7:E8"/>
    <mergeCell ref="F7:F8"/>
    <mergeCell ref="D3:D4"/>
    <mergeCell ref="E3:E4"/>
    <mergeCell ref="F3:F4"/>
    <mergeCell ref="D5:D6"/>
    <mergeCell ref="E5:E6"/>
    <mergeCell ref="F5:F6"/>
    <mergeCell ref="D7:D8"/>
    <mergeCell ref="E13:E14"/>
    <mergeCell ref="F13:F14"/>
    <mergeCell ref="D15:D16"/>
    <mergeCell ref="E15:E16"/>
    <mergeCell ref="F15:F16"/>
    <mergeCell ref="D9:D10"/>
    <mergeCell ref="E9:E10"/>
    <mergeCell ref="F9:F10"/>
    <mergeCell ref="D11:D12"/>
    <mergeCell ref="E11:E12"/>
    <mergeCell ref="F11:F12"/>
    <mergeCell ref="D13:D14"/>
  </mergeCells>
  <drawing r:id="rId1"/>
</worksheet>
</file>