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" sheetId="1" r:id="rId5"/>
    <sheet state="visible" name="CIDR" sheetId="2" r:id="rId6"/>
  </sheets>
  <definedNames/>
  <calcPr/>
</workbook>
</file>

<file path=xl/sharedStrings.xml><?xml version="1.0" encoding="utf-8"?>
<sst xmlns="http://schemas.openxmlformats.org/spreadsheetml/2006/main" count="451" uniqueCount="256">
  <si>
    <t>base IP:</t>
  </si>
  <si>
    <t xml:space="preserve">SUBNET PER LAN </t>
  </si>
  <si>
    <t>10.96.0.0</t>
  </si>
  <si>
    <t>Subnet</t>
  </si>
  <si>
    <t>Host</t>
  </si>
  <si>
    <t>Network ID</t>
  </si>
  <si>
    <t>Kebutuhan</t>
  </si>
  <si>
    <t>Prefix</t>
  </si>
  <si>
    <t>Subnet mask</t>
  </si>
  <si>
    <t>Range IP</t>
  </si>
  <si>
    <t>Gateway</t>
  </si>
  <si>
    <t>Broadcast</t>
  </si>
  <si>
    <t>Router</t>
  </si>
  <si>
    <t>WiFi Publik Utara</t>
  </si>
  <si>
    <t>Subnet Mask</t>
  </si>
  <si>
    <t>Range Host</t>
  </si>
  <si>
    <t>R-UTARA</t>
  </si>
  <si>
    <t>/18</t>
  </si>
  <si>
    <t>255.255.192.0</t>
  </si>
  <si>
    <t>10.96.0.1 – 10.96.63.254</t>
  </si>
  <si>
    <t>10.96.63.255</t>
  </si>
  <si>
    <t>10.96.0.1</t>
  </si>
  <si>
    <t>Sensor Lalu Lintas Utara</t>
  </si>
  <si>
    <t>10.96.64.0</t>
  </si>
  <si>
    <t>/23</t>
  </si>
  <si>
    <t>255.255.254.0</t>
  </si>
  <si>
    <t>10.96.64.1 – 10.96.65.254</t>
  </si>
  <si>
    <t>10.96.65.255</t>
  </si>
  <si>
    <t>10.96.64.1</t>
  </si>
  <si>
    <t>R-DC</t>
  </si>
  <si>
    <t>CCTV Kota</t>
  </si>
  <si>
    <t>10.96.128.0</t>
  </si>
  <si>
    <t>/19</t>
  </si>
  <si>
    <t>255.255.224.0</t>
  </si>
  <si>
    <t>10.96.128.1 – 10.96.159.254</t>
  </si>
  <si>
    <t>10.96.159.255</t>
  </si>
  <si>
    <t>10.96.128.1</t>
  </si>
  <si>
    <t>Server &amp; Storage DC</t>
  </si>
  <si>
    <t>10.96.160.0</t>
  </si>
  <si>
    <t>/24</t>
  </si>
  <si>
    <t>255.255.255.0</t>
  </si>
  <si>
    <t>10.96.160.1 – 10.96.160.254</t>
  </si>
  <si>
    <t>10.96.160.255</t>
  </si>
  <si>
    <t>10.96.160.1</t>
  </si>
  <si>
    <t>R-SELATAN</t>
  </si>
  <si>
    <t>WiFi Publik Selatan</t>
  </si>
  <si>
    <t>10.96.192.0</t>
  </si>
  <si>
    <t>10.96.192.1 – 10.96.223.254</t>
  </si>
  <si>
    <t>10.96.223.255</t>
  </si>
  <si>
    <t>10.96.192.1</t>
  </si>
  <si>
    <t>PJU Pintar Selatan</t>
  </si>
  <si>
    <t>10.96.224.0</t>
  </si>
  <si>
    <t>/25</t>
  </si>
  <si>
    <t>255.255.255.128</t>
  </si>
  <si>
    <t>10.96.224.1 – 10.96.224.126</t>
  </si>
  <si>
    <t>10.96.224.127</t>
  </si>
  <si>
    <t>10.96.224.1</t>
  </si>
  <si>
    <t>R-TIMUR</t>
  </si>
  <si>
    <t>WiFi Publik Timur</t>
  </si>
  <si>
    <t>10.97.0.0</t>
  </si>
  <si>
    <t>10.97.0.1 – 10.97.31.254</t>
  </si>
  <si>
    <t>10.97.31.255</t>
  </si>
  <si>
    <t>10.97.0.1</t>
  </si>
  <si>
    <t>Sensor Banjir Timur</t>
  </si>
  <si>
    <t>10.97.32.0</t>
  </si>
  <si>
    <t>/22</t>
  </si>
  <si>
    <t>255.255.252.0</t>
  </si>
  <si>
    <t>10.97.32.1 – 10.97.35.254</t>
  </si>
  <si>
    <t>10.97.35.255</t>
  </si>
  <si>
    <t>10.97.32.1</t>
  </si>
  <si>
    <t>R-BARAT</t>
  </si>
  <si>
    <t>WiFi Publik Barat</t>
  </si>
  <si>
    <t>10.97.64.0</t>
  </si>
  <si>
    <t>10.97.64.1 – 10.97.95.254</t>
  </si>
  <si>
    <t>10.97.95.255</t>
  </si>
  <si>
    <t>10.97.64.1</t>
  </si>
  <si>
    <t>Puskesmas &amp; Sekolah Barat</t>
  </si>
  <si>
    <t>10.97.96.0</t>
  </si>
  <si>
    <t>10.97.96.1 – 10.97.96.254</t>
  </si>
  <si>
    <t>10.97.96.255</t>
  </si>
  <si>
    <t>10.97.96.1</t>
  </si>
  <si>
    <t>R-PELABUHAN</t>
  </si>
  <si>
    <t>Sensor &amp; SCADA Pelabuhan</t>
  </si>
  <si>
    <t>10.97.128.0</t>
  </si>
  <si>
    <t>10.97.128.1 – 10.97.159.254</t>
  </si>
  <si>
    <t>10.97.159.255</t>
  </si>
  <si>
    <t>10.97.128.1</t>
  </si>
  <si>
    <t>Kantor Pelabuhan</t>
  </si>
  <si>
    <t>10.97.160.0</t>
  </si>
  <si>
    <t>10.97.160.1 – 10.97.160.126</t>
  </si>
  <si>
    <t>10.97.160.127</t>
  </si>
  <si>
    <t>10.97.160.1</t>
  </si>
  <si>
    <t>R-PUSAT</t>
  </si>
  <si>
    <t>Pegawai Balai Kota</t>
  </si>
  <si>
    <t>10.97.192.0</t>
  </si>
  <si>
    <t>/21</t>
  </si>
  <si>
    <t>255.255.248.0</t>
  </si>
  <si>
    <t>10.97.192.1 – 10.97.199.254</t>
  </si>
  <si>
    <t>10.97.199.255</t>
  </si>
  <si>
    <t>10.97.192.1</t>
  </si>
  <si>
    <t>Server Balai Kota</t>
  </si>
  <si>
    <t>10.97.200.0</t>
  </si>
  <si>
    <t>/27</t>
  </si>
  <si>
    <t>255.255.255.224</t>
  </si>
  <si>
    <t>10.97.200.1 – 10.97.200.30</t>
  </si>
  <si>
    <t>10.97.200.31</t>
  </si>
  <si>
    <t>10.97.200.1</t>
  </si>
  <si>
    <t>SUPERNET</t>
  </si>
  <si>
    <t>Kebutuhan per subnet</t>
  </si>
  <si>
    <t>Total kebutuhan</t>
  </si>
  <si>
    <t>Prefix per subnet</t>
  </si>
  <si>
    <t>Prefix total</t>
  </si>
  <si>
    <t>Jumlah alamat</t>
  </si>
  <si>
    <t>10.96.64.1 – 10.96.95.254</t>
  </si>
  <si>
    <t>10.96.95.255</t>
  </si>
  <si>
    <t>10.96.96.0</t>
  </si>
  <si>
    <t>10.96.96.1 – 10.96.127.254</t>
  </si>
  <si>
    <t>10.96.96.1</t>
  </si>
  <si>
    <t>10.96.127.255</t>
  </si>
  <si>
    <t>10.96.160.1 – 10.96.191.254</t>
  </si>
  <si>
    <t>10.96.191.255</t>
  </si>
  <si>
    <t>/17</t>
  </si>
  <si>
    <t>10.96.224.1 – 10.96.231.254</t>
  </si>
  <si>
    <t>10.96.231.255</t>
  </si>
  <si>
    <t>10.96.232.0</t>
  </si>
  <si>
    <t>10.96.232.1 – 10.96.235.254</t>
  </si>
  <si>
    <t>10.96.232.1</t>
  </si>
  <si>
    <t>10.96.235.255</t>
  </si>
  <si>
    <t>10.96.236.0</t>
  </si>
  <si>
    <t>10.96.236.1 – 10.96.237.254</t>
  </si>
  <si>
    <t>10.96.236.1</t>
  </si>
  <si>
    <t>10.96.237.255</t>
  </si>
  <si>
    <t>10.96.238.0</t>
  </si>
  <si>
    <t>10.96.238.1 – 10.96.238.254</t>
  </si>
  <si>
    <t>10.96.238.1</t>
  </si>
  <si>
    <t>10.96.238.255</t>
  </si>
  <si>
    <t>10.96.239.0</t>
  </si>
  <si>
    <t>10.96.239.1 – 10.96.239.254</t>
  </si>
  <si>
    <t>10.96.239.1</t>
  </si>
  <si>
    <t>10.96.239.255</t>
  </si>
  <si>
    <t>10.96.240.0</t>
  </si>
  <si>
    <t>10.96.240.1 – 10.96.240.126</t>
  </si>
  <si>
    <t>10.96.240.1</t>
  </si>
  <si>
    <t>10.96.240.127</t>
  </si>
  <si>
    <t>10.96.240.128</t>
  </si>
  <si>
    <t>10.96.240.129 – 10.96.240.254</t>
  </si>
  <si>
    <t>10.96.240.129</t>
  </si>
  <si>
    <t>10.96.240.255</t>
  </si>
  <si>
    <t>10.96.241.0</t>
  </si>
  <si>
    <t>10.96.241.1 – 10.96.241.30</t>
  </si>
  <si>
    <t>10.96.241.1</t>
  </si>
  <si>
    <t>10.96.241.31</t>
  </si>
  <si>
    <t>Link</t>
  </si>
  <si>
    <t>Host 1</t>
  </si>
  <si>
    <t>Host 2</t>
  </si>
  <si>
    <t>L1</t>
  </si>
  <si>
    <t>10.96.241.32</t>
  </si>
  <si>
    <t>/30</t>
  </si>
  <si>
    <t>255.255.255.252</t>
  </si>
  <si>
    <t>10.96.241.33</t>
  </si>
  <si>
    <t>10.96.241.34</t>
  </si>
  <si>
    <t>10.96.241.33 – 10.96.241.34</t>
  </si>
  <si>
    <t>10.96.241.35</t>
  </si>
  <si>
    <t>L2</t>
  </si>
  <si>
    <t>10.96.241.36</t>
  </si>
  <si>
    <t>10.96.241.37</t>
  </si>
  <si>
    <t>10.96.241.38</t>
  </si>
  <si>
    <t>10.96.241.37 – 10.96.241.38</t>
  </si>
  <si>
    <t>10.96.241.39</t>
  </si>
  <si>
    <t>L3</t>
  </si>
  <si>
    <t>10.96.241.40</t>
  </si>
  <si>
    <t>10.96.241.41</t>
  </si>
  <si>
    <t>10.96.241.42</t>
  </si>
  <si>
    <t>10.96.241.41 – 10.96.241.42</t>
  </si>
  <si>
    <t>10.96.241.43</t>
  </si>
  <si>
    <t>L4</t>
  </si>
  <si>
    <t>10.96.241.44</t>
  </si>
  <si>
    <t>10.96.241.45</t>
  </si>
  <si>
    <t>10.96.241.46</t>
  </si>
  <si>
    <t>10.96.241.45 – 10.96.241.46</t>
  </si>
  <si>
    <t>10.96.241.47</t>
  </si>
  <si>
    <t>L5</t>
  </si>
  <si>
    <t>10.96.241.48</t>
  </si>
  <si>
    <t>10.96.241.49</t>
  </si>
  <si>
    <t>10.96.241.50</t>
  </si>
  <si>
    <t>10.96.241.49 – 10.96.241.50</t>
  </si>
  <si>
    <t>10.96.241.51</t>
  </si>
  <si>
    <t>L6</t>
  </si>
  <si>
    <t>10.96.241.52</t>
  </si>
  <si>
    <t>10.96.241.53</t>
  </si>
  <si>
    <t>10.96.241.54</t>
  </si>
  <si>
    <t>10.96.241.53 – 10.96.241.54</t>
  </si>
  <si>
    <t>10.96.241.55</t>
  </si>
  <si>
    <t>revisi:</t>
  </si>
  <si>
    <t>oktet pertama awalnya 192 menjadi 10.</t>
  </si>
  <si>
    <t>karena 192 termasuk IP private kelas C yang rentangnya pada 192.168.0.0 - 192.168.255.255. tidak memenuhi kebutuhan kelompok kami karena oktet ke-2 adalah 96.</t>
  </si>
  <si>
    <t>oktet 10 termasuk IP private kelas A yang rentangnya pada 10.0.0.0 - 10.255.255.255. sehingga jika oktet ke-2 adalah 96, jenis IP private kelas A inilah yang mampu memenuhi kebutuhan kelompok kami.</t>
  </si>
  <si>
    <t>bagaimana dengan IP private kelas B? IP tersebut berada pada rentang 172.16.0.0 - 172.31.255.255, maka IP ini tidak memenuhi kebutuhan kelompok kami yang menggunakan 96 sebagai oktet ke-2.</t>
  </si>
  <si>
    <t>/20</t>
  </si>
  <si>
    <t xml:space="preserve">Total: </t>
  </si>
  <si>
    <t xml:space="preserve">prefix yang mencukupi: </t>
  </si>
  <si>
    <t>(/15)</t>
  </si>
  <si>
    <t>ALOKASI CIDR HASIL SUPERNET</t>
  </si>
  <si>
    <t>Network supernet</t>
  </si>
  <si>
    <t>Range host</t>
  </si>
  <si>
    <t>255.255.128.0</t>
  </si>
  <si>
    <t>10.96.0.0 – 10.96.127.255</t>
  </si>
  <si>
    <t>10.96.0.1 – 10.96.127.254</t>
  </si>
  <si>
    <t>10.96.128.0 – 10.96.191.255</t>
  </si>
  <si>
    <t>10.96.128.1 – 10.96.191.254</t>
  </si>
  <si>
    <t>10.96.192.0 – 10.96.255.255</t>
  </si>
  <si>
    <t>10.96.192.1 – 10.96.255.254</t>
  </si>
  <si>
    <t>10.96.255.255</t>
  </si>
  <si>
    <t>10.97.0.0 – 10.97.63.255</t>
  </si>
  <si>
    <t>10.97.0.1 – 10.97.63.254</t>
  </si>
  <si>
    <t>10.97.63.255</t>
  </si>
  <si>
    <t>10.97.64.0 – 10.97.127.255</t>
  </si>
  <si>
    <t>10.97.64.1 – 10.97.127.254</t>
  </si>
  <si>
    <t>10.97.127.255</t>
  </si>
  <si>
    <t>10.97.128.0 – 10.97.191.255</t>
  </si>
  <si>
    <t>10.97.128.1 – 10.97.191.254</t>
  </si>
  <si>
    <t>10.97.191.255</t>
  </si>
  <si>
    <t>255.255.240.0</t>
  </si>
  <si>
    <t>10.97.192.0 – 10.97.207.255</t>
  </si>
  <si>
    <t>10.97.192.1 – 10.97.207.254</t>
  </si>
  <si>
    <t>10.97.207.255</t>
  </si>
  <si>
    <t>10.97.208.0</t>
  </si>
  <si>
    <t>10.97.208.1 – 10.97.208.2</t>
  </si>
  <si>
    <t>10.97.208.1</t>
  </si>
  <si>
    <t>10.97.208.2</t>
  </si>
  <si>
    <t>10.97.208.3</t>
  </si>
  <si>
    <t>10.97.208.4</t>
  </si>
  <si>
    <t>10.97.208.5 – 10.97.208.6</t>
  </si>
  <si>
    <t>10.97.208.5</t>
  </si>
  <si>
    <t>10.97.208.6</t>
  </si>
  <si>
    <t>10.97.208.7</t>
  </si>
  <si>
    <t>10.97.208.8</t>
  </si>
  <si>
    <t>10.97.208.9 – 10.97.208.10</t>
  </si>
  <si>
    <t>10.97.208.9</t>
  </si>
  <si>
    <t>10.97.208.10</t>
  </si>
  <si>
    <t>10.97.208.11</t>
  </si>
  <si>
    <t>10.97.208.12</t>
  </si>
  <si>
    <t>10.97.208.13 – 10.97.208.14</t>
  </si>
  <si>
    <t>10.97.208.13</t>
  </si>
  <si>
    <t>10.97.208.14</t>
  </si>
  <si>
    <t>10.97.208.15</t>
  </si>
  <si>
    <t>10.97.208.16</t>
  </si>
  <si>
    <t>10.97.208.17 – 10.97.208.18</t>
  </si>
  <si>
    <t>10.97.208.17</t>
  </si>
  <si>
    <t>10.97.208.18</t>
  </si>
  <si>
    <t>10.97.208.19</t>
  </si>
  <si>
    <t>10.97.208.20</t>
  </si>
  <si>
    <t>10.97.208.21 – 10.97.208.22</t>
  </si>
  <si>
    <t>10.97.208.21</t>
  </si>
  <si>
    <t>10.97.208.22</t>
  </si>
  <si>
    <t>10.97.208.23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</si>
</sst>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/>
    <font>
      <b/>
      <sz val="10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CD6F0"/>
        <bgColor rgb="FFCCD6F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3" numFmtId="0" xfId="0" applyFont="1"/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2" fillId="0" fontId="3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3" fillId="0" fontId="4" numFmtId="0" xfId="0" applyBorder="1" applyFont="1"/>
    <xf borderId="0" fillId="0" fontId="5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1" numFmtId="0" xfId="0" applyAlignment="1" applyBorder="1" applyFont="1">
      <alignment horizontal="left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 readingOrder="0"/>
    </xf>
    <xf borderId="1" fillId="0" fontId="3" numFmtId="0" xfId="0" applyAlignment="1" applyBorder="1" applyFont="1">
      <alignment readingOrder="0" vertical="center"/>
    </xf>
    <xf borderId="1" fillId="0" fontId="0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2.5"/>
    <col customWidth="1" min="4" max="4" width="13.5"/>
    <col customWidth="1" min="6" max="6" width="13.5"/>
    <col customWidth="1" min="7" max="7" width="24.13"/>
  </cols>
  <sheetData>
    <row r="1">
      <c r="A1" s="1" t="s">
        <v>0</v>
      </c>
      <c r="B1" s="3" t="s">
        <v>2</v>
      </c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</row>
    <row r="4">
      <c r="A4" s="7" t="s">
        <v>13</v>
      </c>
      <c r="B4" s="8">
        <v>11000.0</v>
      </c>
      <c r="C4" s="7" t="s">
        <v>2</v>
      </c>
      <c r="D4" s="16">
        <f>2^14</f>
        <v>16384</v>
      </c>
      <c r="E4" s="7" t="s">
        <v>17</v>
      </c>
      <c r="F4" s="7" t="s">
        <v>18</v>
      </c>
      <c r="G4" s="7" t="s">
        <v>19</v>
      </c>
      <c r="H4" s="7" t="s">
        <v>21</v>
      </c>
      <c r="I4" s="7" t="s">
        <v>20</v>
      </c>
    </row>
    <row r="5">
      <c r="A5" s="7" t="s">
        <v>45</v>
      </c>
      <c r="B5" s="8">
        <v>6500.0</v>
      </c>
      <c r="C5" s="7" t="s">
        <v>23</v>
      </c>
      <c r="D5" s="16">
        <f t="shared" ref="D5:D9" si="1">2^13</f>
        <v>8192</v>
      </c>
      <c r="E5" s="7" t="s">
        <v>32</v>
      </c>
      <c r="F5" s="7" t="s">
        <v>33</v>
      </c>
      <c r="G5" s="7" t="s">
        <v>113</v>
      </c>
      <c r="H5" s="7" t="s">
        <v>28</v>
      </c>
      <c r="I5" s="7" t="s">
        <v>114</v>
      </c>
    </row>
    <row r="6">
      <c r="A6" s="7" t="s">
        <v>30</v>
      </c>
      <c r="B6" s="8">
        <v>6000.0</v>
      </c>
      <c r="C6" s="7" t="s">
        <v>115</v>
      </c>
      <c r="D6" s="16">
        <f t="shared" si="1"/>
        <v>8192</v>
      </c>
      <c r="E6" s="7" t="s">
        <v>32</v>
      </c>
      <c r="F6" s="7" t="s">
        <v>33</v>
      </c>
      <c r="G6" s="7" t="s">
        <v>116</v>
      </c>
      <c r="H6" s="7" t="s">
        <v>117</v>
      </c>
      <c r="I6" s="7" t="s">
        <v>118</v>
      </c>
    </row>
    <row r="7">
      <c r="A7" s="7" t="s">
        <v>58</v>
      </c>
      <c r="B7" s="8">
        <v>5500.0</v>
      </c>
      <c r="C7" s="7" t="s">
        <v>31</v>
      </c>
      <c r="D7" s="16">
        <f t="shared" si="1"/>
        <v>8192</v>
      </c>
      <c r="E7" s="7" t="s">
        <v>32</v>
      </c>
      <c r="F7" s="7" t="s">
        <v>33</v>
      </c>
      <c r="G7" s="7" t="s">
        <v>34</v>
      </c>
      <c r="H7" s="7" t="s">
        <v>36</v>
      </c>
      <c r="I7" s="7" t="s">
        <v>35</v>
      </c>
    </row>
    <row r="8">
      <c r="A8" s="7" t="s">
        <v>82</v>
      </c>
      <c r="B8" s="8">
        <v>5000.0</v>
      </c>
      <c r="C8" s="7" t="s">
        <v>38</v>
      </c>
      <c r="D8" s="16">
        <f t="shared" si="1"/>
        <v>8192</v>
      </c>
      <c r="E8" s="7" t="s">
        <v>32</v>
      </c>
      <c r="F8" s="7" t="s">
        <v>33</v>
      </c>
      <c r="G8" s="7" t="s">
        <v>119</v>
      </c>
      <c r="H8" s="7" t="s">
        <v>43</v>
      </c>
      <c r="I8" s="7" t="s">
        <v>120</v>
      </c>
    </row>
    <row r="9">
      <c r="A9" s="7" t="s">
        <v>71</v>
      </c>
      <c r="B9" s="8">
        <v>4500.0</v>
      </c>
      <c r="C9" s="7" t="s">
        <v>46</v>
      </c>
      <c r="D9" s="16">
        <f t="shared" si="1"/>
        <v>8192</v>
      </c>
      <c r="E9" s="7" t="s">
        <v>32</v>
      </c>
      <c r="F9" s="7" t="s">
        <v>33</v>
      </c>
      <c r="G9" s="7" t="s">
        <v>47</v>
      </c>
      <c r="H9" s="7" t="s">
        <v>49</v>
      </c>
      <c r="I9" s="7" t="s">
        <v>48</v>
      </c>
    </row>
    <row r="10">
      <c r="A10" s="7" t="s">
        <v>93</v>
      </c>
      <c r="B10" s="8">
        <v>1800.0</v>
      </c>
      <c r="C10" s="7" t="s">
        <v>51</v>
      </c>
      <c r="D10" s="16">
        <f>2^11</f>
        <v>2048</v>
      </c>
      <c r="E10" s="7" t="s">
        <v>95</v>
      </c>
      <c r="F10" s="7" t="s">
        <v>96</v>
      </c>
      <c r="G10" s="7" t="s">
        <v>122</v>
      </c>
      <c r="H10" s="7" t="s">
        <v>56</v>
      </c>
      <c r="I10" s="7" t="s">
        <v>123</v>
      </c>
    </row>
    <row r="11">
      <c r="A11" s="7" t="s">
        <v>63</v>
      </c>
      <c r="B11" s="8">
        <v>700.0</v>
      </c>
      <c r="C11" s="7" t="s">
        <v>124</v>
      </c>
      <c r="D11" s="16">
        <f>2^10</f>
        <v>1024</v>
      </c>
      <c r="E11" s="7" t="s">
        <v>65</v>
      </c>
      <c r="F11" s="7" t="s">
        <v>66</v>
      </c>
      <c r="G11" s="7" t="s">
        <v>125</v>
      </c>
      <c r="H11" s="7" t="s">
        <v>126</v>
      </c>
      <c r="I11" s="7" t="s">
        <v>127</v>
      </c>
    </row>
    <row r="12">
      <c r="A12" s="7" t="s">
        <v>22</v>
      </c>
      <c r="B12" s="8">
        <v>450.0</v>
      </c>
      <c r="C12" s="7" t="s">
        <v>128</v>
      </c>
      <c r="D12" s="16">
        <f>2^9</f>
        <v>512</v>
      </c>
      <c r="E12" s="7" t="s">
        <v>24</v>
      </c>
      <c r="F12" s="7" t="s">
        <v>25</v>
      </c>
      <c r="G12" s="7" t="s">
        <v>129</v>
      </c>
      <c r="H12" s="7" t="s">
        <v>130</v>
      </c>
      <c r="I12" s="7" t="s">
        <v>131</v>
      </c>
    </row>
    <row r="13">
      <c r="A13" s="7" t="s">
        <v>76</v>
      </c>
      <c r="B13" s="8">
        <v>220.0</v>
      </c>
      <c r="C13" s="7" t="s">
        <v>132</v>
      </c>
      <c r="D13" s="16">
        <f t="shared" ref="D13:D14" si="2">2^8</f>
        <v>256</v>
      </c>
      <c r="E13" s="7" t="s">
        <v>39</v>
      </c>
      <c r="F13" s="7" t="s">
        <v>40</v>
      </c>
      <c r="G13" s="7" t="s">
        <v>133</v>
      </c>
      <c r="H13" s="7" t="s">
        <v>134</v>
      </c>
      <c r="I13" s="7" t="s">
        <v>135</v>
      </c>
    </row>
    <row r="14">
      <c r="A14" s="7" t="s">
        <v>37</v>
      </c>
      <c r="B14" s="8">
        <v>180.0</v>
      </c>
      <c r="C14" s="7" t="s">
        <v>136</v>
      </c>
      <c r="D14" s="16">
        <f t="shared" si="2"/>
        <v>256</v>
      </c>
      <c r="E14" s="7" t="s">
        <v>39</v>
      </c>
      <c r="F14" s="7" t="s">
        <v>40</v>
      </c>
      <c r="G14" s="7" t="s">
        <v>137</v>
      </c>
      <c r="H14" s="7" t="s">
        <v>138</v>
      </c>
      <c r="I14" s="7" t="s">
        <v>139</v>
      </c>
    </row>
    <row r="15">
      <c r="A15" s="7" t="s">
        <v>87</v>
      </c>
      <c r="B15" s="8">
        <v>120.0</v>
      </c>
      <c r="C15" s="7" t="s">
        <v>140</v>
      </c>
      <c r="D15" s="16">
        <f t="shared" ref="D15:D16" si="3">2^7</f>
        <v>128</v>
      </c>
      <c r="E15" s="7" t="s">
        <v>52</v>
      </c>
      <c r="F15" s="7" t="s">
        <v>53</v>
      </c>
      <c r="G15" s="7" t="s">
        <v>141</v>
      </c>
      <c r="H15" s="7" t="s">
        <v>142</v>
      </c>
      <c r="I15" s="7" t="s">
        <v>143</v>
      </c>
    </row>
    <row r="16">
      <c r="A16" s="7" t="s">
        <v>50</v>
      </c>
      <c r="B16" s="8">
        <v>90.0</v>
      </c>
      <c r="C16" s="7" t="s">
        <v>144</v>
      </c>
      <c r="D16" s="16">
        <f t="shared" si="3"/>
        <v>128</v>
      </c>
      <c r="E16" s="7" t="s">
        <v>52</v>
      </c>
      <c r="F16" s="7" t="s">
        <v>53</v>
      </c>
      <c r="G16" s="7" t="s">
        <v>145</v>
      </c>
      <c r="H16" s="7" t="s">
        <v>146</v>
      </c>
      <c r="I16" s="7" t="s">
        <v>147</v>
      </c>
    </row>
    <row r="17">
      <c r="A17" s="7" t="s">
        <v>100</v>
      </c>
      <c r="B17" s="8">
        <v>20.0</v>
      </c>
      <c r="C17" s="7" t="s">
        <v>148</v>
      </c>
      <c r="D17" s="16">
        <f>2^5</f>
        <v>32</v>
      </c>
      <c r="E17" s="7" t="s">
        <v>102</v>
      </c>
      <c r="F17" s="7" t="s">
        <v>103</v>
      </c>
      <c r="G17" s="7" t="s">
        <v>149</v>
      </c>
      <c r="H17" s="7" t="s">
        <v>150</v>
      </c>
      <c r="I17" s="7" t="s">
        <v>151</v>
      </c>
    </row>
    <row r="19">
      <c r="A19" s="6" t="s">
        <v>152</v>
      </c>
      <c r="B19" s="6" t="s">
        <v>5</v>
      </c>
      <c r="C19" s="6" t="s">
        <v>7</v>
      </c>
      <c r="D19" s="6" t="s">
        <v>8</v>
      </c>
      <c r="E19" s="6" t="s">
        <v>153</v>
      </c>
      <c r="F19" s="6" t="s">
        <v>154</v>
      </c>
      <c r="G19" s="6" t="s">
        <v>9</v>
      </c>
      <c r="H19" s="6" t="s">
        <v>11</v>
      </c>
    </row>
    <row r="20">
      <c r="A20" s="7" t="s">
        <v>155</v>
      </c>
      <c r="B20" s="7" t="s">
        <v>156</v>
      </c>
      <c r="C20" s="7" t="s">
        <v>157</v>
      </c>
      <c r="D20" s="7" t="s">
        <v>158</v>
      </c>
      <c r="E20" s="7" t="s">
        <v>159</v>
      </c>
      <c r="F20" s="7" t="s">
        <v>160</v>
      </c>
      <c r="G20" s="7" t="s">
        <v>161</v>
      </c>
      <c r="H20" s="7" t="s">
        <v>162</v>
      </c>
    </row>
    <row r="21">
      <c r="A21" s="7" t="s">
        <v>163</v>
      </c>
      <c r="B21" s="7" t="s">
        <v>164</v>
      </c>
      <c r="C21" s="7" t="s">
        <v>157</v>
      </c>
      <c r="D21" s="7" t="s">
        <v>158</v>
      </c>
      <c r="E21" s="7" t="s">
        <v>165</v>
      </c>
      <c r="F21" s="7" t="s">
        <v>166</v>
      </c>
      <c r="G21" s="7" t="s">
        <v>167</v>
      </c>
      <c r="H21" s="7" t="s">
        <v>168</v>
      </c>
    </row>
    <row r="22">
      <c r="A22" s="7" t="s">
        <v>169</v>
      </c>
      <c r="B22" s="7" t="s">
        <v>170</v>
      </c>
      <c r="C22" s="7" t="s">
        <v>157</v>
      </c>
      <c r="D22" s="7" t="s">
        <v>158</v>
      </c>
      <c r="E22" s="7" t="s">
        <v>171</v>
      </c>
      <c r="F22" s="7" t="s">
        <v>172</v>
      </c>
      <c r="G22" s="7" t="s">
        <v>173</v>
      </c>
      <c r="H22" s="7" t="s">
        <v>174</v>
      </c>
    </row>
    <row r="23">
      <c r="A23" s="7" t="s">
        <v>175</v>
      </c>
      <c r="B23" s="7" t="s">
        <v>176</v>
      </c>
      <c r="C23" s="7" t="s">
        <v>157</v>
      </c>
      <c r="D23" s="7" t="s">
        <v>158</v>
      </c>
      <c r="E23" s="7" t="s">
        <v>177</v>
      </c>
      <c r="F23" s="7" t="s">
        <v>178</v>
      </c>
      <c r="G23" s="7" t="s">
        <v>179</v>
      </c>
      <c r="H23" s="7" t="s">
        <v>180</v>
      </c>
    </row>
    <row r="24">
      <c r="A24" s="7" t="s">
        <v>181</v>
      </c>
      <c r="B24" s="7" t="s">
        <v>182</v>
      </c>
      <c r="C24" s="7" t="s">
        <v>157</v>
      </c>
      <c r="D24" s="7" t="s">
        <v>158</v>
      </c>
      <c r="E24" s="7" t="s">
        <v>183</v>
      </c>
      <c r="F24" s="7" t="s">
        <v>184</v>
      </c>
      <c r="G24" s="7" t="s">
        <v>185</v>
      </c>
      <c r="H24" s="7" t="s">
        <v>186</v>
      </c>
    </row>
    <row r="25">
      <c r="A25" s="7" t="s">
        <v>187</v>
      </c>
      <c r="B25" s="7" t="s">
        <v>188</v>
      </c>
      <c r="C25" s="7" t="s">
        <v>157</v>
      </c>
      <c r="D25" s="7" t="s">
        <v>158</v>
      </c>
      <c r="E25" s="7" t="s">
        <v>189</v>
      </c>
      <c r="F25" s="7" t="s">
        <v>190</v>
      </c>
      <c r="G25" s="7" t="s">
        <v>191</v>
      </c>
      <c r="H25" s="7" t="s">
        <v>192</v>
      </c>
    </row>
    <row r="28">
      <c r="A28" s="3" t="s">
        <v>193</v>
      </c>
    </row>
    <row r="29">
      <c r="A29" s="3" t="s">
        <v>194</v>
      </c>
    </row>
    <row r="30">
      <c r="A30" s="3" t="s">
        <v>195</v>
      </c>
    </row>
    <row r="31">
      <c r="A31" s="3" t="s">
        <v>196</v>
      </c>
    </row>
    <row r="32">
      <c r="A32" s="3" t="s">
        <v>197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2.5"/>
    <col customWidth="1" min="3" max="3" width="9.75"/>
    <col customWidth="1" min="4" max="4" width="17.38"/>
    <col customWidth="1" min="5" max="6" width="22.25"/>
    <col customWidth="1" min="7" max="7" width="11.63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12</v>
      </c>
      <c r="B2" s="9" t="s">
        <v>3</v>
      </c>
      <c r="C2" s="9" t="s">
        <v>5</v>
      </c>
      <c r="D2" s="9" t="s">
        <v>7</v>
      </c>
      <c r="E2" s="9" t="s">
        <v>14</v>
      </c>
      <c r="F2" s="9" t="s">
        <v>15</v>
      </c>
      <c r="G2" s="9" t="s">
        <v>11</v>
      </c>
      <c r="H2" s="9" t="s">
        <v>10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16</v>
      </c>
      <c r="B3" s="11" t="s">
        <v>13</v>
      </c>
      <c r="C3" s="11" t="s">
        <v>2</v>
      </c>
      <c r="D3" s="12" t="s">
        <v>17</v>
      </c>
      <c r="E3" s="11" t="s">
        <v>18</v>
      </c>
      <c r="F3" s="11" t="s">
        <v>19</v>
      </c>
      <c r="G3" s="11" t="s">
        <v>20</v>
      </c>
      <c r="H3" s="11" t="s">
        <v>21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/>
      <c r="B4" s="11" t="s">
        <v>22</v>
      </c>
      <c r="C4" s="11" t="s">
        <v>23</v>
      </c>
      <c r="D4" s="12" t="s">
        <v>24</v>
      </c>
      <c r="E4" s="11" t="s">
        <v>25</v>
      </c>
      <c r="F4" s="11" t="s">
        <v>26</v>
      </c>
      <c r="G4" s="11" t="s">
        <v>27</v>
      </c>
      <c r="H4" s="11" t="s">
        <v>28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29</v>
      </c>
      <c r="B5" s="11" t="s">
        <v>30</v>
      </c>
      <c r="C5" s="11" t="s">
        <v>31</v>
      </c>
      <c r="D5" s="12" t="s">
        <v>32</v>
      </c>
      <c r="E5" s="11" t="s">
        <v>33</v>
      </c>
      <c r="F5" s="11" t="s">
        <v>34</v>
      </c>
      <c r="G5" s="11" t="s">
        <v>35</v>
      </c>
      <c r="H5" s="11" t="s">
        <v>36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/>
      <c r="B6" s="11" t="s">
        <v>37</v>
      </c>
      <c r="C6" s="11" t="s">
        <v>38</v>
      </c>
      <c r="D6" s="12" t="s">
        <v>39</v>
      </c>
      <c r="E6" s="11" t="s">
        <v>40</v>
      </c>
      <c r="F6" s="11" t="s">
        <v>41</v>
      </c>
      <c r="G6" s="11" t="s">
        <v>42</v>
      </c>
      <c r="H6" s="11" t="s">
        <v>43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44</v>
      </c>
      <c r="B7" s="11" t="s">
        <v>45</v>
      </c>
      <c r="C7" s="11" t="s">
        <v>46</v>
      </c>
      <c r="D7" s="12" t="s">
        <v>32</v>
      </c>
      <c r="E7" s="11" t="s">
        <v>33</v>
      </c>
      <c r="F7" s="11" t="s">
        <v>47</v>
      </c>
      <c r="G7" s="11" t="s">
        <v>48</v>
      </c>
      <c r="H7" s="11" t="s">
        <v>49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/>
      <c r="B8" s="11" t="s">
        <v>50</v>
      </c>
      <c r="C8" s="11" t="s">
        <v>51</v>
      </c>
      <c r="D8" s="12" t="s">
        <v>52</v>
      </c>
      <c r="E8" s="11" t="s">
        <v>53</v>
      </c>
      <c r="F8" s="11" t="s">
        <v>54</v>
      </c>
      <c r="G8" s="11" t="s">
        <v>55</v>
      </c>
      <c r="H8" s="11" t="s">
        <v>56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57</v>
      </c>
      <c r="B9" s="11" t="s">
        <v>58</v>
      </c>
      <c r="C9" s="11" t="s">
        <v>59</v>
      </c>
      <c r="D9" s="12" t="s">
        <v>32</v>
      </c>
      <c r="E9" s="11" t="s">
        <v>33</v>
      </c>
      <c r="F9" s="11" t="s">
        <v>60</v>
      </c>
      <c r="G9" s="11" t="s">
        <v>61</v>
      </c>
      <c r="H9" s="11" t="s">
        <v>62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/>
      <c r="B10" s="11" t="s">
        <v>63</v>
      </c>
      <c r="C10" s="11" t="s">
        <v>64</v>
      </c>
      <c r="D10" s="12" t="s">
        <v>65</v>
      </c>
      <c r="E10" s="11" t="s">
        <v>66</v>
      </c>
      <c r="F10" s="11" t="s">
        <v>67</v>
      </c>
      <c r="G10" s="11" t="s">
        <v>68</v>
      </c>
      <c r="H10" s="11" t="s">
        <v>69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70</v>
      </c>
      <c r="B11" s="11" t="s">
        <v>71</v>
      </c>
      <c r="C11" s="11" t="s">
        <v>72</v>
      </c>
      <c r="D11" s="12" t="s">
        <v>32</v>
      </c>
      <c r="E11" s="11" t="s">
        <v>33</v>
      </c>
      <c r="F11" s="11" t="s">
        <v>73</v>
      </c>
      <c r="G11" s="11" t="s">
        <v>74</v>
      </c>
      <c r="H11" s="11" t="s">
        <v>75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/>
      <c r="B12" s="11" t="s">
        <v>76</v>
      </c>
      <c r="C12" s="11" t="s">
        <v>77</v>
      </c>
      <c r="D12" s="12" t="s">
        <v>39</v>
      </c>
      <c r="E12" s="11" t="s">
        <v>40</v>
      </c>
      <c r="F12" s="11" t="s">
        <v>78</v>
      </c>
      <c r="G12" s="11" t="s">
        <v>79</v>
      </c>
      <c r="H12" s="11" t="s">
        <v>80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81</v>
      </c>
      <c r="B13" s="11" t="s">
        <v>82</v>
      </c>
      <c r="C13" s="11" t="s">
        <v>83</v>
      </c>
      <c r="D13" s="12" t="s">
        <v>32</v>
      </c>
      <c r="E13" s="11" t="s">
        <v>33</v>
      </c>
      <c r="F13" s="11" t="s">
        <v>84</v>
      </c>
      <c r="G13" s="11" t="s">
        <v>85</v>
      </c>
      <c r="H13" s="11" t="s">
        <v>86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/>
      <c r="B14" s="11" t="s">
        <v>87</v>
      </c>
      <c r="C14" s="11" t="s">
        <v>88</v>
      </c>
      <c r="D14" s="12" t="s">
        <v>52</v>
      </c>
      <c r="E14" s="11" t="s">
        <v>53</v>
      </c>
      <c r="F14" s="11" t="s">
        <v>89</v>
      </c>
      <c r="G14" s="11" t="s">
        <v>90</v>
      </c>
      <c r="H14" s="11" t="s">
        <v>91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92</v>
      </c>
      <c r="B15" s="11" t="s">
        <v>93</v>
      </c>
      <c r="C15" s="11" t="s">
        <v>94</v>
      </c>
      <c r="D15" s="12" t="s">
        <v>95</v>
      </c>
      <c r="E15" s="11" t="s">
        <v>96</v>
      </c>
      <c r="F15" s="11" t="s">
        <v>97</v>
      </c>
      <c r="G15" s="11" t="s">
        <v>98</v>
      </c>
      <c r="H15" s="11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/>
      <c r="B16" s="11" t="s">
        <v>100</v>
      </c>
      <c r="C16" s="11" t="s">
        <v>101</v>
      </c>
      <c r="D16" s="12" t="s">
        <v>102</v>
      </c>
      <c r="E16" s="11" t="s">
        <v>103</v>
      </c>
      <c r="F16" s="11" t="s">
        <v>104</v>
      </c>
      <c r="G16" s="11" t="s">
        <v>105</v>
      </c>
      <c r="H16" s="11" t="s">
        <v>106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4" t="s">
        <v>107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5" t="s">
        <v>12</v>
      </c>
      <c r="B20" s="15" t="s">
        <v>3</v>
      </c>
      <c r="C20" s="15" t="s">
        <v>4</v>
      </c>
      <c r="D20" s="15" t="s">
        <v>108</v>
      </c>
      <c r="E20" s="15" t="s">
        <v>109</v>
      </c>
      <c r="F20" s="15" t="s">
        <v>110</v>
      </c>
      <c r="G20" s="15" t="s">
        <v>111</v>
      </c>
      <c r="H20" s="15" t="s">
        <v>112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 t="s">
        <v>16</v>
      </c>
      <c r="B21" s="17" t="s">
        <v>13</v>
      </c>
      <c r="C21" s="18">
        <v>11000.0</v>
      </c>
      <c r="D21" s="19">
        <f>2^14</f>
        <v>16384</v>
      </c>
      <c r="E21" s="20">
        <f>D21+D22</f>
        <v>16896</v>
      </c>
      <c r="F21" s="17" t="s">
        <v>17</v>
      </c>
      <c r="G21" s="21" t="s">
        <v>121</v>
      </c>
      <c r="H21" s="21">
        <f>2^15</f>
        <v>32768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/>
      <c r="B22" s="17" t="s">
        <v>22</v>
      </c>
      <c r="C22" s="18">
        <v>450.0</v>
      </c>
      <c r="D22" s="19">
        <f>2^9</f>
        <v>512</v>
      </c>
      <c r="E22" s="13"/>
      <c r="F22" s="17" t="s">
        <v>24</v>
      </c>
      <c r="G22" s="13"/>
      <c r="H22" s="13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29</v>
      </c>
      <c r="B23" s="17" t="s">
        <v>30</v>
      </c>
      <c r="C23" s="18">
        <v>6000.0</v>
      </c>
      <c r="D23" s="19">
        <f>2^13</f>
        <v>8192</v>
      </c>
      <c r="E23" s="20">
        <f>D23+D24</f>
        <v>8448</v>
      </c>
      <c r="F23" s="17" t="s">
        <v>32</v>
      </c>
      <c r="G23" s="21" t="s">
        <v>17</v>
      </c>
      <c r="H23" s="21">
        <f>2^14</f>
        <v>16384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/>
      <c r="B24" s="17" t="s">
        <v>37</v>
      </c>
      <c r="C24" s="18">
        <v>180.0</v>
      </c>
      <c r="D24" s="19">
        <f>2^8</f>
        <v>256</v>
      </c>
      <c r="E24" s="13"/>
      <c r="F24" s="17" t="s">
        <v>39</v>
      </c>
      <c r="G24" s="13"/>
      <c r="H24" s="13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44</v>
      </c>
      <c r="B25" s="17" t="s">
        <v>45</v>
      </c>
      <c r="C25" s="18">
        <v>6500.0</v>
      </c>
      <c r="D25" s="19">
        <f>2^13</f>
        <v>8192</v>
      </c>
      <c r="E25" s="20">
        <f>D25+D26</f>
        <v>8320</v>
      </c>
      <c r="F25" s="17" t="s">
        <v>32</v>
      </c>
      <c r="G25" s="21" t="s">
        <v>17</v>
      </c>
      <c r="H25" s="21">
        <f>2^14</f>
        <v>16384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/>
      <c r="B26" s="17" t="s">
        <v>50</v>
      </c>
      <c r="C26" s="18">
        <v>90.0</v>
      </c>
      <c r="D26" s="19">
        <f>2^7</f>
        <v>128</v>
      </c>
      <c r="E26" s="13"/>
      <c r="F26" s="17" t="s">
        <v>52</v>
      </c>
      <c r="G26" s="13"/>
      <c r="H26" s="13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 t="s">
        <v>57</v>
      </c>
      <c r="B27" s="17" t="s">
        <v>58</v>
      </c>
      <c r="C27" s="18">
        <v>5500.0</v>
      </c>
      <c r="D27" s="19">
        <f>2^13</f>
        <v>8192</v>
      </c>
      <c r="E27" s="20">
        <f>D27+D28</f>
        <v>9216</v>
      </c>
      <c r="F27" s="17" t="s">
        <v>32</v>
      </c>
      <c r="G27" s="21" t="s">
        <v>17</v>
      </c>
      <c r="H27" s="21">
        <f>2^14</f>
        <v>16384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/>
      <c r="B28" s="17" t="s">
        <v>63</v>
      </c>
      <c r="C28" s="18">
        <v>700.0</v>
      </c>
      <c r="D28" s="19">
        <f>2^10</f>
        <v>1024</v>
      </c>
      <c r="E28" s="13"/>
      <c r="F28" s="17" t="s">
        <v>65</v>
      </c>
      <c r="G28" s="13"/>
      <c r="H28" s="13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 t="s">
        <v>70</v>
      </c>
      <c r="B29" s="17" t="s">
        <v>71</v>
      </c>
      <c r="C29" s="18">
        <v>4500.0</v>
      </c>
      <c r="D29" s="19">
        <f>2^13</f>
        <v>8192</v>
      </c>
      <c r="E29" s="20">
        <f>D29+D30</f>
        <v>8448</v>
      </c>
      <c r="F29" s="17" t="s">
        <v>32</v>
      </c>
      <c r="G29" s="21" t="s">
        <v>17</v>
      </c>
      <c r="H29" s="21">
        <f>2^14</f>
        <v>16384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/>
      <c r="B30" s="17" t="s">
        <v>76</v>
      </c>
      <c r="C30" s="18">
        <v>220.0</v>
      </c>
      <c r="D30" s="19">
        <f>2^8</f>
        <v>256</v>
      </c>
      <c r="E30" s="13"/>
      <c r="F30" s="17" t="s">
        <v>39</v>
      </c>
      <c r="G30" s="13"/>
      <c r="H30" s="13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" t="s">
        <v>81</v>
      </c>
      <c r="B31" s="17" t="s">
        <v>82</v>
      </c>
      <c r="C31" s="18">
        <v>5000.0</v>
      </c>
      <c r="D31" s="19">
        <f>2^13</f>
        <v>8192</v>
      </c>
      <c r="E31" s="20">
        <f>D31+D32</f>
        <v>8320</v>
      </c>
      <c r="F31" s="17" t="s">
        <v>32</v>
      </c>
      <c r="G31" s="21" t="s">
        <v>17</v>
      </c>
      <c r="H31" s="21">
        <f>2^14</f>
        <v>16384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/>
      <c r="B32" s="17" t="s">
        <v>87</v>
      </c>
      <c r="C32" s="18">
        <v>120.0</v>
      </c>
      <c r="D32" s="19">
        <f>2^7</f>
        <v>128</v>
      </c>
      <c r="E32" s="13"/>
      <c r="F32" s="17" t="s">
        <v>52</v>
      </c>
      <c r="G32" s="13"/>
      <c r="H32" s="13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" t="s">
        <v>92</v>
      </c>
      <c r="B33" s="17" t="s">
        <v>93</v>
      </c>
      <c r="C33" s="18">
        <v>1800.0</v>
      </c>
      <c r="D33" s="19">
        <f>2^11</f>
        <v>2048</v>
      </c>
      <c r="E33" s="20">
        <f>D33+D34</f>
        <v>2080</v>
      </c>
      <c r="F33" s="17" t="s">
        <v>95</v>
      </c>
      <c r="G33" s="21" t="s">
        <v>198</v>
      </c>
      <c r="H33" s="21">
        <f>2^12</f>
        <v>4096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/>
      <c r="B34" s="17" t="s">
        <v>100</v>
      </c>
      <c r="C34" s="18">
        <v>20.0</v>
      </c>
      <c r="D34" s="19">
        <f>2^5</f>
        <v>32</v>
      </c>
      <c r="E34" s="13"/>
      <c r="F34" s="17" t="s">
        <v>102</v>
      </c>
      <c r="G34" s="13"/>
      <c r="H34" s="13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22" t="s">
        <v>199</v>
      </c>
      <c r="H35" s="23">
        <f>SUM(H21:H34)</f>
        <v>118784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24" t="s">
        <v>200</v>
      </c>
      <c r="H36" s="23">
        <f>2^17</f>
        <v>131072</v>
      </c>
      <c r="I36" s="22" t="s">
        <v>201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4" t="s">
        <v>202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5" t="s">
        <v>12</v>
      </c>
      <c r="B38" s="15" t="s">
        <v>203</v>
      </c>
      <c r="C38" s="15" t="s">
        <v>7</v>
      </c>
      <c r="D38" s="15" t="s">
        <v>8</v>
      </c>
      <c r="E38" s="15" t="s">
        <v>9</v>
      </c>
      <c r="F38" s="15" t="s">
        <v>204</v>
      </c>
      <c r="G38" s="15" t="s">
        <v>11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5" t="s">
        <v>16</v>
      </c>
      <c r="B39" s="26" t="s">
        <v>2</v>
      </c>
      <c r="C39" s="26" t="s">
        <v>121</v>
      </c>
      <c r="D39" s="26" t="s">
        <v>205</v>
      </c>
      <c r="E39" s="26" t="s">
        <v>206</v>
      </c>
      <c r="F39" s="27" t="s">
        <v>207</v>
      </c>
      <c r="G39" s="7" t="s">
        <v>118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5" t="s">
        <v>29</v>
      </c>
      <c r="B40" s="26" t="s">
        <v>31</v>
      </c>
      <c r="C40" s="26" t="s">
        <v>17</v>
      </c>
      <c r="D40" s="26" t="s">
        <v>18</v>
      </c>
      <c r="E40" s="26" t="s">
        <v>208</v>
      </c>
      <c r="F40" s="27" t="s">
        <v>209</v>
      </c>
      <c r="G40" s="7" t="s">
        <v>120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5" t="s">
        <v>44</v>
      </c>
      <c r="B41" s="26" t="s">
        <v>46</v>
      </c>
      <c r="C41" s="26" t="s">
        <v>17</v>
      </c>
      <c r="D41" s="26" t="s">
        <v>18</v>
      </c>
      <c r="E41" s="26" t="s">
        <v>210</v>
      </c>
      <c r="F41" s="27" t="s">
        <v>211</v>
      </c>
      <c r="G41" s="7" t="s">
        <v>212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5" t="s">
        <v>57</v>
      </c>
      <c r="B42" s="26" t="s">
        <v>59</v>
      </c>
      <c r="C42" s="26" t="s">
        <v>17</v>
      </c>
      <c r="D42" s="26" t="s">
        <v>18</v>
      </c>
      <c r="E42" s="26" t="s">
        <v>213</v>
      </c>
      <c r="F42" s="27" t="s">
        <v>214</v>
      </c>
      <c r="G42" s="7" t="s">
        <v>215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5" t="s">
        <v>70</v>
      </c>
      <c r="B43" s="26" t="s">
        <v>72</v>
      </c>
      <c r="C43" s="26" t="s">
        <v>17</v>
      </c>
      <c r="D43" s="26" t="s">
        <v>18</v>
      </c>
      <c r="E43" s="26" t="s">
        <v>216</v>
      </c>
      <c r="F43" s="27" t="s">
        <v>217</v>
      </c>
      <c r="G43" s="7" t="s">
        <v>218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5" t="s">
        <v>81</v>
      </c>
      <c r="B44" s="26" t="s">
        <v>83</v>
      </c>
      <c r="C44" s="26" t="s">
        <v>17</v>
      </c>
      <c r="D44" s="26" t="s">
        <v>18</v>
      </c>
      <c r="E44" s="26" t="s">
        <v>219</v>
      </c>
      <c r="F44" s="27" t="s">
        <v>220</v>
      </c>
      <c r="G44" s="7" t="s">
        <v>221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5" t="s">
        <v>92</v>
      </c>
      <c r="B45" s="26" t="s">
        <v>94</v>
      </c>
      <c r="C45" s="26" t="s">
        <v>198</v>
      </c>
      <c r="D45" s="26" t="s">
        <v>222</v>
      </c>
      <c r="E45" s="26" t="s">
        <v>223</v>
      </c>
      <c r="F45" s="27" t="s">
        <v>224</v>
      </c>
      <c r="G45" s="7" t="s">
        <v>225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8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5" t="s">
        <v>152</v>
      </c>
      <c r="B47" s="15" t="s">
        <v>5</v>
      </c>
      <c r="C47" s="15" t="s">
        <v>7</v>
      </c>
      <c r="D47" s="15" t="s">
        <v>8</v>
      </c>
      <c r="E47" s="15" t="s">
        <v>204</v>
      </c>
      <c r="F47" s="15" t="s">
        <v>153</v>
      </c>
      <c r="G47" s="15" t="s">
        <v>154</v>
      </c>
      <c r="H47" s="15" t="s">
        <v>11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6" t="s">
        <v>155</v>
      </c>
      <c r="B48" s="26" t="s">
        <v>226</v>
      </c>
      <c r="C48" s="26" t="s">
        <v>157</v>
      </c>
      <c r="D48" s="26" t="s">
        <v>158</v>
      </c>
      <c r="E48" s="26" t="s">
        <v>227</v>
      </c>
      <c r="F48" s="26" t="s">
        <v>228</v>
      </c>
      <c r="G48" s="26" t="s">
        <v>229</v>
      </c>
      <c r="H48" s="26" t="s">
        <v>230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6" t="s">
        <v>163</v>
      </c>
      <c r="B49" s="26" t="s">
        <v>231</v>
      </c>
      <c r="C49" s="26" t="s">
        <v>157</v>
      </c>
      <c r="D49" s="26" t="s">
        <v>158</v>
      </c>
      <c r="E49" s="26" t="s">
        <v>232</v>
      </c>
      <c r="F49" s="26" t="s">
        <v>233</v>
      </c>
      <c r="G49" s="26" t="s">
        <v>234</v>
      </c>
      <c r="H49" s="26" t="s">
        <v>235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6" t="s">
        <v>169</v>
      </c>
      <c r="B50" s="26" t="s">
        <v>236</v>
      </c>
      <c r="C50" s="26" t="s">
        <v>157</v>
      </c>
      <c r="D50" s="26" t="s">
        <v>158</v>
      </c>
      <c r="E50" s="26" t="s">
        <v>237</v>
      </c>
      <c r="F50" s="26" t="s">
        <v>238</v>
      </c>
      <c r="G50" s="26" t="s">
        <v>239</v>
      </c>
      <c r="H50" s="26" t="s">
        <v>240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6" t="s">
        <v>175</v>
      </c>
      <c r="B51" s="26" t="s">
        <v>241</v>
      </c>
      <c r="C51" s="26" t="s">
        <v>157</v>
      </c>
      <c r="D51" s="26" t="s">
        <v>158</v>
      </c>
      <c r="E51" s="26" t="s">
        <v>242</v>
      </c>
      <c r="F51" s="26" t="s">
        <v>243</v>
      </c>
      <c r="G51" s="26" t="s">
        <v>244</v>
      </c>
      <c r="H51" s="26" t="s">
        <v>245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6" t="s">
        <v>181</v>
      </c>
      <c r="B52" s="26" t="s">
        <v>246</v>
      </c>
      <c r="C52" s="26" t="s">
        <v>157</v>
      </c>
      <c r="D52" s="26" t="s">
        <v>158</v>
      </c>
      <c r="E52" s="26" t="s">
        <v>247</v>
      </c>
      <c r="F52" s="26" t="s">
        <v>248</v>
      </c>
      <c r="G52" s="26" t="s">
        <v>249</v>
      </c>
      <c r="H52" s="26" t="s">
        <v>250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6" t="s">
        <v>187</v>
      </c>
      <c r="B53" s="26" t="s">
        <v>251</v>
      </c>
      <c r="C53" s="26" t="s">
        <v>157</v>
      </c>
      <c r="D53" s="26" t="s">
        <v>158</v>
      </c>
      <c r="E53" s="26" t="s">
        <v>252</v>
      </c>
      <c r="F53" s="26" t="s">
        <v>253</v>
      </c>
      <c r="G53" s="26" t="s">
        <v>254</v>
      </c>
      <c r="H53" s="26" t="s">
        <v>255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6">
    <mergeCell ref="A25:A26"/>
    <mergeCell ref="A27:A28"/>
    <mergeCell ref="A29:A30"/>
    <mergeCell ref="A31:A32"/>
    <mergeCell ref="A33:A34"/>
    <mergeCell ref="H23:H24"/>
    <mergeCell ref="H25:H26"/>
    <mergeCell ref="G23:G24"/>
    <mergeCell ref="G25:G26"/>
    <mergeCell ref="G27:G28"/>
    <mergeCell ref="H27:H28"/>
    <mergeCell ref="G29:G30"/>
    <mergeCell ref="H29:H30"/>
    <mergeCell ref="G21:G22"/>
    <mergeCell ref="H21:H22"/>
    <mergeCell ref="E31:E32"/>
    <mergeCell ref="E33:E34"/>
    <mergeCell ref="G31:G32"/>
    <mergeCell ref="H31:H32"/>
    <mergeCell ref="G33:G34"/>
    <mergeCell ref="H33:H34"/>
    <mergeCell ref="F36:G36"/>
    <mergeCell ref="E21:E22"/>
    <mergeCell ref="E23:E24"/>
    <mergeCell ref="E25:E26"/>
    <mergeCell ref="E29:E30"/>
    <mergeCell ref="E27:E28"/>
    <mergeCell ref="A5:A6"/>
    <mergeCell ref="A3:A4"/>
    <mergeCell ref="A23:A24"/>
    <mergeCell ref="A21:A22"/>
    <mergeCell ref="A7:A8"/>
    <mergeCell ref="A9:A10"/>
    <mergeCell ref="A11:A12"/>
    <mergeCell ref="A13:A14"/>
    <mergeCell ref="A15:A16"/>
  </mergeCells>
  <drawing r:id="rId1"/>
</worksheet>
</file>